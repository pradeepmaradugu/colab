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3"/>
  <workbookPr defaultThemeVersion="166925"/>
  <xr:revisionPtr revIDLastSave="400" documentId="11_E60897F41BE170836B02CE998F75CCDC64E183C8" xr6:coauthVersionLast="47" xr6:coauthVersionMax="47" xr10:uidLastSave="{428A096F-0AC4-4011-A057-4B2107DB0680}"/>
  <bookViews>
    <workbookView xWindow="240" yWindow="105" windowWidth="14805" windowHeight="8010" activeTab="5" xr2:uid="{00000000-000D-0000-FFFF-FFFF00000000}"/>
  </bookViews>
  <sheets>
    <sheet name="Q1" sheetId="1" r:id="rId1"/>
    <sheet name="Q2" sheetId="3" r:id="rId2"/>
    <sheet name="Q3 - not done" sheetId="2" r:id="rId3"/>
    <sheet name="Q4" sheetId="4" r:id="rId4"/>
    <sheet name="Q5" sheetId="5" r:id="rId5"/>
    <sheet name="Q6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6" l="1"/>
  <c r="G3" i="5"/>
  <c r="B14" i="4"/>
  <c r="B13" i="4"/>
  <c r="K18" i="3"/>
  <c r="J9" i="3"/>
  <c r="K3" i="3"/>
  <c r="E12" i="3"/>
  <c r="C12" i="3"/>
  <c r="A12" i="3"/>
  <c r="F9" i="3"/>
  <c r="D9" i="3"/>
  <c r="B9" i="3"/>
  <c r="F8" i="3"/>
  <c r="D8" i="3"/>
  <c r="B8" i="3"/>
  <c r="F7" i="3"/>
  <c r="D7" i="3"/>
  <c r="B7" i="3"/>
  <c r="F6" i="3"/>
  <c r="D6" i="3"/>
  <c r="B6" i="3"/>
  <c r="F5" i="3"/>
  <c r="D5" i="3"/>
  <c r="B5" i="3"/>
  <c r="F4" i="3"/>
  <c r="D4" i="3"/>
  <c r="B4" i="3"/>
  <c r="J3" i="3"/>
  <c r="F3" i="3"/>
  <c r="D3" i="3"/>
  <c r="B3" i="3"/>
  <c r="F2" i="3"/>
  <c r="F12" i="3" s="1"/>
  <c r="D2" i="3"/>
  <c r="D12" i="3" s="1"/>
  <c r="B2" i="3"/>
  <c r="B12" i="3" s="1"/>
  <c r="J6" i="3" s="1"/>
  <c r="K6" i="3" s="1"/>
  <c r="C12" i="1"/>
  <c r="E12" i="1"/>
  <c r="A12" i="1"/>
  <c r="F3" i="1"/>
  <c r="F4" i="1"/>
  <c r="F5" i="1"/>
  <c r="F6" i="1"/>
  <c r="F7" i="1"/>
  <c r="F8" i="1"/>
  <c r="F9" i="1"/>
  <c r="F10" i="1"/>
  <c r="F11" i="1"/>
  <c r="F2" i="1"/>
  <c r="F12" i="1" s="1"/>
  <c r="D3" i="1"/>
  <c r="D4" i="1"/>
  <c r="D5" i="1"/>
  <c r="D6" i="1"/>
  <c r="D7" i="1"/>
  <c r="D8" i="1"/>
  <c r="D9" i="1"/>
  <c r="D10" i="1"/>
  <c r="D11" i="1"/>
  <c r="D2" i="1"/>
  <c r="D12" i="1" s="1"/>
  <c r="B3" i="1"/>
  <c r="B4" i="1"/>
  <c r="B5" i="1"/>
  <c r="B6" i="1"/>
  <c r="B7" i="1"/>
  <c r="B8" i="1"/>
  <c r="B9" i="1"/>
  <c r="B10" i="1"/>
  <c r="B11" i="1"/>
  <c r="B2" i="1"/>
  <c r="B12" i="1" s="1"/>
  <c r="J6" i="1" s="1"/>
  <c r="F8" i="4" l="1"/>
  <c r="J8" i="4"/>
  <c r="K9" i="3"/>
  <c r="J9" i="1"/>
  <c r="J3" i="1"/>
  <c r="K3" i="1" s="1"/>
  <c r="K6" i="1" s="1"/>
  <c r="K15" i="3" l="1"/>
  <c r="K12" i="3"/>
  <c r="K9" i="1"/>
  <c r="K21" i="3" l="1"/>
  <c r="K15" i="1"/>
  <c r="K12" i="1"/>
  <c r="K18" i="1" s="1"/>
  <c r="K21" i="1" l="1"/>
</calcChain>
</file>

<file path=xl/sharedStrings.xml><?xml version="1.0" encoding="utf-8"?>
<sst xmlns="http://schemas.openxmlformats.org/spreadsheetml/2006/main" count="105" uniqueCount="68">
  <si>
    <t>Variable 1</t>
  </si>
  <si>
    <t>X Sq</t>
  </si>
  <si>
    <t>Varable 2</t>
  </si>
  <si>
    <t>Variable 3</t>
  </si>
  <si>
    <t>Correction Term</t>
  </si>
  <si>
    <t>Source of Variance</t>
  </si>
  <si>
    <t>df</t>
  </si>
  <si>
    <t>SS</t>
  </si>
  <si>
    <t>MSS</t>
  </si>
  <si>
    <t>F Ratio</t>
  </si>
  <si>
    <t>Cx</t>
  </si>
  <si>
    <t>Among Group</t>
  </si>
  <si>
    <t>Within Group</t>
  </si>
  <si>
    <t>Sum of Square Total</t>
  </si>
  <si>
    <t>SST</t>
  </si>
  <si>
    <t>Sum of Square among Group</t>
  </si>
  <si>
    <t>Lookup F Table for 2 &amp; 27</t>
  </si>
  <si>
    <t>SSa</t>
  </si>
  <si>
    <t>df2</t>
  </si>
  <si>
    <t>df1</t>
  </si>
  <si>
    <t>Sum of Squares within Group</t>
  </si>
  <si>
    <t>SSw</t>
  </si>
  <si>
    <t>SSt - SSa</t>
  </si>
  <si>
    <t>F Calculated</t>
  </si>
  <si>
    <t>Mean of Squares among groups</t>
  </si>
  <si>
    <t>F Table</t>
  </si>
  <si>
    <t>MSSa</t>
  </si>
  <si>
    <t>SSa/k-1</t>
  </si>
  <si>
    <t>F Calc &lt; F Table</t>
  </si>
  <si>
    <t>Accepct H0 null hypothesis</t>
  </si>
  <si>
    <t>Mean of sum of squares within groups</t>
  </si>
  <si>
    <t>MSSw</t>
  </si>
  <si>
    <t>SSw/N-k</t>
  </si>
  <si>
    <t>MSSa/MSSw</t>
  </si>
  <si>
    <t>Financial</t>
  </si>
  <si>
    <t>Energy</t>
  </si>
  <si>
    <t>Utilities</t>
  </si>
  <si>
    <t>Yes, there is a difference in rate of returns</t>
  </si>
  <si>
    <t>100.83 - 2.262 * 1.852/SQRT(10)</t>
  </si>
  <si>
    <t>&lt;=</t>
  </si>
  <si>
    <t>sample average is 100.83</t>
  </si>
  <si>
    <t>It is 95% confident that average speed of car from 0 to 5 seconds is 100 mph</t>
  </si>
  <si>
    <t>Std</t>
  </si>
  <si>
    <t>n</t>
  </si>
  <si>
    <t>v</t>
  </si>
  <si>
    <t>t</t>
  </si>
  <si>
    <t>H0</t>
  </si>
  <si>
    <t>105 $</t>
  </si>
  <si>
    <t>t calc</t>
  </si>
  <si>
    <t>H1</t>
  </si>
  <si>
    <t>&gt; 105 $</t>
  </si>
  <si>
    <t>t value</t>
  </si>
  <si>
    <t>Sample Mean x</t>
  </si>
  <si>
    <t>Poplation Mean u</t>
  </si>
  <si>
    <t>The calculated T value is out of range so we reject null hypothesis</t>
  </si>
  <si>
    <t>STD s</t>
  </si>
  <si>
    <t>so there is an impact with enhancements</t>
  </si>
  <si>
    <t>No of observations n</t>
  </si>
  <si>
    <t xml:space="preserve"> = 15</t>
  </si>
  <si>
    <t xml:space="preserve"> &lt;&gt; 15</t>
  </si>
  <si>
    <t>z</t>
  </si>
  <si>
    <t xml:space="preserve">STD </t>
  </si>
  <si>
    <t>p(z)</t>
  </si>
  <si>
    <t>Sample Mean X</t>
  </si>
  <si>
    <t>Population Mean U</t>
  </si>
  <si>
    <t>p(z) &gt; 0.05</t>
  </si>
  <si>
    <t>SO Accepct null hypothesis</t>
  </si>
  <si>
    <t>Sample Size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</si>
</sst>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3">
    <font>
      <sz val="11"/>
      <color theme="1"/>
      <name val="Calibri"/>
      <family val="2"/>
      <scheme val="minor"/>
    </font>
    <font>
      <sz val="12"/>
      <color rgb="FF000000"/>
      <name val="Times New Roman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activeCell="K3" sqref="K3"/>
    </sheetView>
  </sheetViews>
  <sheetFormatPr defaultRowHeight="15"/>
  <cols>
    <col min="11" max="11" width="12.85546875" bestFit="1" customWidth="1"/>
    <col min="13" max="13" width="17.7109375" bestFit="1" customWidth="1"/>
  </cols>
  <sheetData>
    <row r="1" spans="1:17">
      <c r="A1" t="s">
        <v>0</v>
      </c>
      <c r="B1" t="s">
        <v>1</v>
      </c>
      <c r="C1" t="s">
        <v>2</v>
      </c>
      <c r="E1" t="s">
        <v>3</v>
      </c>
    </row>
    <row r="2" spans="1:17">
      <c r="A2">
        <v>27</v>
      </c>
      <c r="B2">
        <f>A2*A2</f>
        <v>729</v>
      </c>
      <c r="C2">
        <v>63</v>
      </c>
      <c r="D2">
        <f>C2*C2</f>
        <v>3969</v>
      </c>
      <c r="E2">
        <v>52</v>
      </c>
      <c r="F2">
        <f>E2*E2</f>
        <v>2704</v>
      </c>
      <c r="I2" s="1" t="s">
        <v>4</v>
      </c>
      <c r="J2" s="1"/>
      <c r="K2" s="1"/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</row>
    <row r="3" spans="1:17">
      <c r="A3">
        <v>43</v>
      </c>
      <c r="B3">
        <f t="shared" ref="B3:B11" si="0">A3*A3</f>
        <v>1849</v>
      </c>
      <c r="C3">
        <v>43</v>
      </c>
      <c r="D3">
        <f t="shared" ref="D3:D11" si="1">C3*C3</f>
        <v>1849</v>
      </c>
      <c r="E3">
        <v>60</v>
      </c>
      <c r="F3">
        <f t="shared" ref="F3:F11" si="2">E3*E3</f>
        <v>3600</v>
      </c>
      <c r="I3" t="s">
        <v>10</v>
      </c>
      <c r="J3">
        <f>(A12+C12+E12)</f>
        <v>1470</v>
      </c>
      <c r="K3">
        <f>(J3*J3)/30</f>
        <v>72030</v>
      </c>
      <c r="M3" s="3" t="s">
        <v>11</v>
      </c>
      <c r="N3" s="3">
        <v>2</v>
      </c>
      <c r="O3" s="3">
        <v>-71883</v>
      </c>
      <c r="P3" s="3">
        <v>-35941.5</v>
      </c>
      <c r="Q3" s="4">
        <v>-12.835000000000001</v>
      </c>
    </row>
    <row r="4" spans="1:17">
      <c r="A4">
        <v>64</v>
      </c>
      <c r="B4">
        <f t="shared" si="0"/>
        <v>4096</v>
      </c>
      <c r="C4">
        <v>52</v>
      </c>
      <c r="D4">
        <f t="shared" si="1"/>
        <v>2704</v>
      </c>
      <c r="E4">
        <v>37</v>
      </c>
      <c r="F4">
        <f t="shared" si="2"/>
        <v>1369</v>
      </c>
      <c r="M4" s="3" t="s">
        <v>12</v>
      </c>
      <c r="N4" s="3">
        <v>27</v>
      </c>
      <c r="O4" s="3">
        <v>75603</v>
      </c>
      <c r="P4" s="3">
        <v>2800.11</v>
      </c>
      <c r="Q4" s="4"/>
    </row>
    <row r="5" spans="1:17">
      <c r="A5">
        <v>62</v>
      </c>
      <c r="B5">
        <f t="shared" si="0"/>
        <v>3844</v>
      </c>
      <c r="C5">
        <v>58</v>
      </c>
      <c r="D5">
        <f t="shared" si="1"/>
        <v>3364</v>
      </c>
      <c r="E5">
        <v>40</v>
      </c>
      <c r="F5">
        <f t="shared" si="2"/>
        <v>1600</v>
      </c>
      <c r="I5" s="1" t="s">
        <v>13</v>
      </c>
      <c r="J5" s="1"/>
      <c r="K5" s="1"/>
    </row>
    <row r="6" spans="1:17">
      <c r="A6">
        <v>44</v>
      </c>
      <c r="B6">
        <f t="shared" si="0"/>
        <v>1936</v>
      </c>
      <c r="C6">
        <v>54</v>
      </c>
      <c r="D6">
        <f t="shared" si="1"/>
        <v>2916</v>
      </c>
      <c r="E6">
        <v>23</v>
      </c>
      <c r="F6">
        <f t="shared" si="2"/>
        <v>529</v>
      </c>
      <c r="I6" t="s">
        <v>14</v>
      </c>
      <c r="J6">
        <f>B12+D12+F12</f>
        <v>75750</v>
      </c>
      <c r="K6">
        <f>J6-K3</f>
        <v>3720</v>
      </c>
    </row>
    <row r="7" spans="1:17">
      <c r="A7">
        <v>54</v>
      </c>
      <c r="B7">
        <f t="shared" si="0"/>
        <v>2916</v>
      </c>
      <c r="C7">
        <v>50</v>
      </c>
      <c r="D7">
        <f t="shared" si="1"/>
        <v>2500</v>
      </c>
      <c r="E7">
        <v>39</v>
      </c>
      <c r="F7">
        <f t="shared" si="2"/>
        <v>1521</v>
      </c>
    </row>
    <row r="8" spans="1:17">
      <c r="A8">
        <v>57</v>
      </c>
      <c r="B8">
        <f t="shared" si="0"/>
        <v>3249</v>
      </c>
      <c r="C8">
        <v>65</v>
      </c>
      <c r="D8">
        <f t="shared" si="1"/>
        <v>4225</v>
      </c>
      <c r="E8">
        <v>55</v>
      </c>
      <c r="F8">
        <f t="shared" si="2"/>
        <v>3025</v>
      </c>
      <c r="I8" s="1" t="s">
        <v>15</v>
      </c>
      <c r="J8" s="1"/>
      <c r="K8" s="1"/>
      <c r="M8" t="s">
        <v>16</v>
      </c>
    </row>
    <row r="9" spans="1:17">
      <c r="A9">
        <v>49</v>
      </c>
      <c r="B9">
        <f t="shared" si="0"/>
        <v>2401</v>
      </c>
      <c r="C9">
        <v>53</v>
      </c>
      <c r="D9">
        <f t="shared" si="1"/>
        <v>2809</v>
      </c>
      <c r="E9">
        <v>52</v>
      </c>
      <c r="F9">
        <f t="shared" si="2"/>
        <v>2704</v>
      </c>
      <c r="I9" t="s">
        <v>17</v>
      </c>
      <c r="J9">
        <f>A12/10+C12/10+E12/10</f>
        <v>147</v>
      </c>
      <c r="K9">
        <f>J9-K3</f>
        <v>-71883</v>
      </c>
      <c r="M9" t="s">
        <v>18</v>
      </c>
      <c r="N9">
        <v>27</v>
      </c>
    </row>
    <row r="10" spans="1:17">
      <c r="A10">
        <v>31</v>
      </c>
      <c r="B10">
        <f t="shared" si="0"/>
        <v>961</v>
      </c>
      <c r="C10">
        <v>43</v>
      </c>
      <c r="D10">
        <f t="shared" si="1"/>
        <v>1849</v>
      </c>
      <c r="E10">
        <v>43</v>
      </c>
      <c r="F10">
        <f t="shared" si="2"/>
        <v>1849</v>
      </c>
      <c r="M10" t="s">
        <v>19</v>
      </c>
      <c r="N10">
        <v>2</v>
      </c>
    </row>
    <row r="11" spans="1:17" ht="15.75">
      <c r="A11">
        <v>69</v>
      </c>
      <c r="B11">
        <f t="shared" si="0"/>
        <v>4761</v>
      </c>
      <c r="C11">
        <v>49</v>
      </c>
      <c r="D11">
        <f t="shared" si="1"/>
        <v>2401</v>
      </c>
      <c r="E11">
        <v>39</v>
      </c>
      <c r="F11">
        <f t="shared" si="2"/>
        <v>1521</v>
      </c>
      <c r="I11" s="1" t="s">
        <v>20</v>
      </c>
      <c r="J11" s="1"/>
      <c r="K11" s="1"/>
      <c r="N11" s="5">
        <v>19.462399999999999</v>
      </c>
    </row>
    <row r="12" spans="1:17">
      <c r="A12">
        <f>SUM(A2:A11)</f>
        <v>500</v>
      </c>
      <c r="B12">
        <f t="shared" ref="B12:F12" si="3">SUM(B2:B11)</f>
        <v>26742</v>
      </c>
      <c r="C12">
        <f t="shared" si="3"/>
        <v>530</v>
      </c>
      <c r="D12">
        <f t="shared" si="3"/>
        <v>28586</v>
      </c>
      <c r="E12">
        <f t="shared" si="3"/>
        <v>440</v>
      </c>
      <c r="F12">
        <f t="shared" si="3"/>
        <v>20422</v>
      </c>
      <c r="I12" t="s">
        <v>21</v>
      </c>
      <c r="J12" t="s">
        <v>22</v>
      </c>
      <c r="K12">
        <f>K6-K9</f>
        <v>75603</v>
      </c>
    </row>
    <row r="13" spans="1:17">
      <c r="M13" t="s">
        <v>23</v>
      </c>
      <c r="N13">
        <v>-12.83</v>
      </c>
    </row>
    <row r="14" spans="1:17">
      <c r="I14" s="1" t="s">
        <v>24</v>
      </c>
      <c r="J14" s="1"/>
      <c r="K14" s="1"/>
      <c r="M14" t="s">
        <v>25</v>
      </c>
      <c r="N14">
        <v>19.462399999999999</v>
      </c>
    </row>
    <row r="15" spans="1:17">
      <c r="I15" t="s">
        <v>26</v>
      </c>
      <c r="J15" t="s">
        <v>27</v>
      </c>
      <c r="K15">
        <f>K9/2</f>
        <v>-35941.5</v>
      </c>
      <c r="N15" t="s">
        <v>28</v>
      </c>
    </row>
    <row r="16" spans="1:17">
      <c r="N16" s="6" t="s">
        <v>29</v>
      </c>
    </row>
    <row r="17" spans="9:11">
      <c r="I17" s="1" t="s">
        <v>30</v>
      </c>
      <c r="J17" s="1"/>
      <c r="K17" s="1"/>
    </row>
    <row r="18" spans="9:11">
      <c r="I18" t="s">
        <v>31</v>
      </c>
      <c r="J18" t="s">
        <v>32</v>
      </c>
      <c r="K18">
        <f>K12/(30-3)</f>
        <v>2800.1111111111113</v>
      </c>
    </row>
    <row r="20" spans="9:11">
      <c r="I20" s="1" t="s">
        <v>9</v>
      </c>
      <c r="J20" s="1"/>
      <c r="K20" s="1"/>
    </row>
    <row r="21" spans="9:11">
      <c r="I21" t="s">
        <v>33</v>
      </c>
      <c r="K21">
        <f>K15/K18</f>
        <v>-12.835740645212491</v>
      </c>
    </row>
  </sheetData>
  <mergeCells count="8">
    <mergeCell ref="I20:K20"/>
    <mergeCell ref="Q3:Q4"/>
    <mergeCell ref="I2:K2"/>
    <mergeCell ref="I5:K5"/>
    <mergeCell ref="I8:K8"/>
    <mergeCell ref="I11:K11"/>
    <mergeCell ref="I14:K14"/>
    <mergeCell ref="I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3BC5-2B30-4C60-9EFD-D30E0323CF0C}">
  <dimension ref="A1:Q21"/>
  <sheetViews>
    <sheetView workbookViewId="0">
      <selection activeCell="J7" sqref="J7"/>
    </sheetView>
  </sheetViews>
  <sheetFormatPr defaultRowHeight="15"/>
  <cols>
    <col min="2" max="2" width="10.42578125" bestFit="1" customWidth="1"/>
    <col min="11" max="11" width="12.85546875" bestFit="1" customWidth="1"/>
    <col min="13" max="13" width="17.7109375" bestFit="1" customWidth="1"/>
  </cols>
  <sheetData>
    <row r="1" spans="1:17">
      <c r="A1" t="s">
        <v>34</v>
      </c>
      <c r="B1" t="s">
        <v>1</v>
      </c>
      <c r="C1" t="s">
        <v>35</v>
      </c>
      <c r="E1" t="s">
        <v>36</v>
      </c>
    </row>
    <row r="2" spans="1:17">
      <c r="A2">
        <v>10.76</v>
      </c>
      <c r="B2" s="8">
        <f>A2*A2</f>
        <v>115.77759999999999</v>
      </c>
      <c r="C2">
        <v>12.72</v>
      </c>
      <c r="D2" s="8">
        <f>C2*C2</f>
        <v>161.79840000000002</v>
      </c>
      <c r="E2">
        <v>11.88</v>
      </c>
      <c r="F2" s="8">
        <f>E2*E2</f>
        <v>141.13440000000003</v>
      </c>
      <c r="I2" s="1" t="s">
        <v>4</v>
      </c>
      <c r="J2" s="1"/>
      <c r="K2" s="1"/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</row>
    <row r="3" spans="1:17">
      <c r="A3">
        <v>15.05</v>
      </c>
      <c r="B3" s="8">
        <f t="shared" ref="B3:B11" si="0">A3*A3</f>
        <v>226.50250000000003</v>
      </c>
      <c r="C3">
        <v>13.91</v>
      </c>
      <c r="D3" s="8">
        <f t="shared" ref="D3:D11" si="1">C3*C3</f>
        <v>193.4881</v>
      </c>
      <c r="E3">
        <v>5.86</v>
      </c>
      <c r="F3" s="8">
        <f t="shared" ref="F3:F11" si="2">E3*E3</f>
        <v>34.339600000000004</v>
      </c>
      <c r="I3" t="s">
        <v>10</v>
      </c>
      <c r="J3">
        <f>(A12+C12+E12)</f>
        <v>274.75</v>
      </c>
      <c r="K3" s="8">
        <f>(J3*J3)/24</f>
        <v>3145.3151041666665</v>
      </c>
      <c r="M3" s="3" t="s">
        <v>11</v>
      </c>
      <c r="N3" s="3">
        <v>2</v>
      </c>
      <c r="O3" s="3">
        <v>-3110.97</v>
      </c>
      <c r="P3" s="3">
        <v>-1555.49</v>
      </c>
      <c r="Q3" s="4">
        <v>-8.8239999999999998</v>
      </c>
    </row>
    <row r="4" spans="1:17">
      <c r="A4">
        <v>17.010000000000002</v>
      </c>
      <c r="B4" s="8">
        <f t="shared" si="0"/>
        <v>289.34010000000006</v>
      </c>
      <c r="C4">
        <v>6.43</v>
      </c>
      <c r="D4" s="8">
        <f t="shared" si="1"/>
        <v>41.344899999999996</v>
      </c>
      <c r="E4">
        <v>13.46</v>
      </c>
      <c r="F4" s="8">
        <f t="shared" si="2"/>
        <v>181.17160000000001</v>
      </c>
      <c r="M4" s="3" t="s">
        <v>12</v>
      </c>
      <c r="N4" s="3">
        <v>24</v>
      </c>
      <c r="O4" s="3">
        <v>3701.82</v>
      </c>
      <c r="P4" s="3">
        <v>176.28</v>
      </c>
      <c r="Q4" s="4"/>
    </row>
    <row r="5" spans="1:17">
      <c r="A5">
        <v>5.07</v>
      </c>
      <c r="B5" s="8">
        <f t="shared" si="0"/>
        <v>25.704900000000002</v>
      </c>
      <c r="C5">
        <v>11.19</v>
      </c>
      <c r="D5" s="8">
        <f t="shared" si="1"/>
        <v>125.21609999999998</v>
      </c>
      <c r="E5">
        <v>9.9</v>
      </c>
      <c r="F5" s="8">
        <f t="shared" si="2"/>
        <v>98.01</v>
      </c>
      <c r="I5" s="1" t="s">
        <v>13</v>
      </c>
      <c r="J5" s="1"/>
      <c r="K5" s="1"/>
    </row>
    <row r="6" spans="1:17">
      <c r="A6">
        <v>19.5</v>
      </c>
      <c r="B6" s="8">
        <f t="shared" si="0"/>
        <v>380.25</v>
      </c>
      <c r="C6">
        <v>18.79</v>
      </c>
      <c r="D6" s="8">
        <f t="shared" si="1"/>
        <v>353.0641</v>
      </c>
      <c r="E6">
        <v>3.95</v>
      </c>
      <c r="F6" s="8">
        <f t="shared" si="2"/>
        <v>15.602500000000001</v>
      </c>
      <c r="I6" t="s">
        <v>14</v>
      </c>
      <c r="J6">
        <f>B12+D12+F12</f>
        <v>3736.1659000000004</v>
      </c>
      <c r="K6" s="8">
        <f>J6-K3</f>
        <v>590.8507958333339</v>
      </c>
    </row>
    <row r="7" spans="1:17">
      <c r="A7">
        <v>8.16</v>
      </c>
      <c r="B7" s="8">
        <f t="shared" si="0"/>
        <v>66.585599999999999</v>
      </c>
      <c r="C7">
        <v>20.73</v>
      </c>
      <c r="D7" s="8">
        <f t="shared" si="1"/>
        <v>429.73290000000003</v>
      </c>
      <c r="E7">
        <v>3.44</v>
      </c>
      <c r="F7" s="8">
        <f t="shared" si="2"/>
        <v>11.833599999999999</v>
      </c>
    </row>
    <row r="8" spans="1:17">
      <c r="A8">
        <v>10.38</v>
      </c>
      <c r="B8" s="8">
        <f t="shared" si="0"/>
        <v>107.74440000000001</v>
      </c>
      <c r="C8">
        <v>9.6</v>
      </c>
      <c r="D8" s="8">
        <f t="shared" si="1"/>
        <v>92.16</v>
      </c>
      <c r="E8">
        <v>7.11</v>
      </c>
      <c r="F8" s="8">
        <f t="shared" si="2"/>
        <v>50.552100000000003</v>
      </c>
      <c r="I8" s="1" t="s">
        <v>15</v>
      </c>
      <c r="J8" s="1"/>
      <c r="K8" s="1"/>
      <c r="M8" t="s">
        <v>16</v>
      </c>
    </row>
    <row r="9" spans="1:17">
      <c r="A9">
        <v>6.75</v>
      </c>
      <c r="B9" s="8">
        <f t="shared" si="0"/>
        <v>45.5625</v>
      </c>
      <c r="C9">
        <v>17.399999999999999</v>
      </c>
      <c r="D9" s="8">
        <f t="shared" si="1"/>
        <v>302.75999999999993</v>
      </c>
      <c r="E9">
        <v>15.7</v>
      </c>
      <c r="F9" s="8">
        <f t="shared" si="2"/>
        <v>246.48999999999998</v>
      </c>
      <c r="I9" t="s">
        <v>17</v>
      </c>
      <c r="J9">
        <f>A12/8+C12/8+E12/8</f>
        <v>34.34375</v>
      </c>
      <c r="K9" s="8">
        <f>J9-K3</f>
        <v>-3110.9713541666665</v>
      </c>
      <c r="M9" t="s">
        <v>18</v>
      </c>
      <c r="N9">
        <v>24</v>
      </c>
    </row>
    <row r="10" spans="1:17">
      <c r="M10" t="s">
        <v>19</v>
      </c>
      <c r="N10">
        <v>2</v>
      </c>
    </row>
    <row r="11" spans="1:17" ht="15.75">
      <c r="I11" s="1" t="s">
        <v>20</v>
      </c>
      <c r="J11" s="1"/>
      <c r="K11" s="1"/>
      <c r="N11" s="5">
        <v>19.4541</v>
      </c>
    </row>
    <row r="12" spans="1:17">
      <c r="A12">
        <f>SUM(A2:A11)</f>
        <v>92.68</v>
      </c>
      <c r="B12" s="8">
        <f t="shared" ref="B12:F12" si="3">SUM(B2:B11)</f>
        <v>1257.4675999999999</v>
      </c>
      <c r="C12">
        <f t="shared" si="3"/>
        <v>110.76999999999998</v>
      </c>
      <c r="D12" s="9">
        <f t="shared" si="3"/>
        <v>1699.5645000000002</v>
      </c>
      <c r="E12">
        <f t="shared" si="3"/>
        <v>71.3</v>
      </c>
      <c r="F12" s="8">
        <f t="shared" si="3"/>
        <v>779.13380000000006</v>
      </c>
      <c r="I12" t="s">
        <v>21</v>
      </c>
      <c r="J12" t="s">
        <v>22</v>
      </c>
      <c r="K12" s="8">
        <f>K6-K9</f>
        <v>3701.8221500000004</v>
      </c>
    </row>
    <row r="13" spans="1:17">
      <c r="M13" t="s">
        <v>23</v>
      </c>
      <c r="N13">
        <v>-8.8239999999999998</v>
      </c>
    </row>
    <row r="14" spans="1:17">
      <c r="I14" s="1" t="s">
        <v>24</v>
      </c>
      <c r="J14" s="1"/>
      <c r="K14" s="1"/>
      <c r="M14" t="s">
        <v>25</v>
      </c>
      <c r="N14">
        <v>19.4541</v>
      </c>
    </row>
    <row r="15" spans="1:17">
      <c r="I15" t="s">
        <v>26</v>
      </c>
      <c r="J15" t="s">
        <v>27</v>
      </c>
      <c r="K15" s="8">
        <f>K9/2</f>
        <v>-1555.4856770833333</v>
      </c>
      <c r="N15" t="s">
        <v>28</v>
      </c>
    </row>
    <row r="16" spans="1:17">
      <c r="N16" s="6" t="s">
        <v>29</v>
      </c>
    </row>
    <row r="17" spans="9:14">
      <c r="I17" s="1" t="s">
        <v>30</v>
      </c>
      <c r="J17" s="1"/>
      <c r="K17" s="1"/>
      <c r="N17" s="6" t="s">
        <v>37</v>
      </c>
    </row>
    <row r="18" spans="9:14">
      <c r="I18" t="s">
        <v>31</v>
      </c>
      <c r="J18" t="s">
        <v>32</v>
      </c>
      <c r="K18" s="8">
        <f>K12/(24-3)</f>
        <v>176.27724523809525</v>
      </c>
    </row>
    <row r="20" spans="9:14">
      <c r="I20" s="1" t="s">
        <v>9</v>
      </c>
      <c r="J20" s="1"/>
      <c r="K20" s="1"/>
    </row>
    <row r="21" spans="9:14">
      <c r="I21" t="s">
        <v>33</v>
      </c>
      <c r="K21" s="7">
        <f>K15/K18</f>
        <v>-8.8240865971235269</v>
      </c>
    </row>
  </sheetData>
  <mergeCells count="8">
    <mergeCell ref="I17:K17"/>
    <mergeCell ref="I20:K20"/>
    <mergeCell ref="I2:K2"/>
    <mergeCell ref="Q3:Q4"/>
    <mergeCell ref="I5:K5"/>
    <mergeCell ref="I8:K8"/>
    <mergeCell ref="I11:K11"/>
    <mergeCell ref="I14:K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2000-E85A-4D4C-8A26-3F474179A2EB}">
  <dimension ref="D3:D12"/>
  <sheetViews>
    <sheetView workbookViewId="0">
      <selection activeCell="G10" sqref="G10"/>
    </sheetView>
  </sheetViews>
  <sheetFormatPr defaultRowHeight="15"/>
  <sheetData>
    <row r="3" spans="4:4">
      <c r="D3">
        <v>22.3</v>
      </c>
    </row>
    <row r="4" spans="4:4">
      <c r="D4">
        <v>21.8</v>
      </c>
    </row>
    <row r="5" spans="4:4">
      <c r="D5">
        <v>22.3</v>
      </c>
    </row>
    <row r="6" spans="4:4">
      <c r="D6">
        <v>21.6</v>
      </c>
    </row>
    <row r="7" spans="4:4">
      <c r="D7">
        <v>21.8</v>
      </c>
    </row>
    <row r="8" spans="4:4">
      <c r="D8">
        <v>21.9</v>
      </c>
    </row>
    <row r="9" spans="4:4">
      <c r="D9">
        <v>22.4</v>
      </c>
    </row>
    <row r="10" spans="4:4">
      <c r="D10">
        <v>22.5</v>
      </c>
    </row>
    <row r="11" spans="4:4">
      <c r="D11">
        <v>22.2</v>
      </c>
    </row>
    <row r="12" spans="4:4">
      <c r="D12">
        <v>21.6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9B5D-48DC-40D6-BC36-DA374FD6158E}">
  <dimension ref="A2:M18"/>
  <sheetViews>
    <sheetView workbookViewId="0">
      <selection activeCell="H9" sqref="H9"/>
    </sheetView>
  </sheetViews>
  <sheetFormatPr defaultRowHeight="15"/>
  <sheetData>
    <row r="2" spans="1:13">
      <c r="B2">
        <v>100.5</v>
      </c>
    </row>
    <row r="3" spans="1:13">
      <c r="B3">
        <v>101.3</v>
      </c>
    </row>
    <row r="4" spans="1:13">
      <c r="B4">
        <v>99.5</v>
      </c>
    </row>
    <row r="5" spans="1:13">
      <c r="B5">
        <v>98.6</v>
      </c>
    </row>
    <row r="6" spans="1:13">
      <c r="B6">
        <v>104</v>
      </c>
    </row>
    <row r="7" spans="1:13">
      <c r="B7">
        <v>103.1</v>
      </c>
      <c r="F7" t="s">
        <v>38</v>
      </c>
    </row>
    <row r="8" spans="1:13">
      <c r="B8">
        <v>100.5</v>
      </c>
      <c r="F8">
        <f>B13-(B18*(B14/SQRT(B15)))</f>
        <v>99.504996505815924</v>
      </c>
      <c r="G8" t="s">
        <v>39</v>
      </c>
      <c r="H8">
        <v>100.83</v>
      </c>
      <c r="I8" t="s">
        <v>39</v>
      </c>
      <c r="J8">
        <f>B13+(B18*B14/SQRT(B15))</f>
        <v>102.15500349418407</v>
      </c>
    </row>
    <row r="9" spans="1:13">
      <c r="B9">
        <v>99.8</v>
      </c>
    </row>
    <row r="10" spans="1:13">
      <c r="B10">
        <v>98.6</v>
      </c>
      <c r="F10" s="6" t="s">
        <v>40</v>
      </c>
      <c r="G10" s="6"/>
      <c r="H10" s="6"/>
      <c r="I10" s="6"/>
      <c r="J10" s="6"/>
      <c r="K10" s="6"/>
      <c r="L10" s="6"/>
      <c r="M10" s="6"/>
    </row>
    <row r="11" spans="1:13">
      <c r="B11">
        <v>102.4</v>
      </c>
      <c r="F11" s="6" t="s">
        <v>41</v>
      </c>
      <c r="G11" s="6"/>
      <c r="H11" s="6"/>
      <c r="I11" s="6"/>
      <c r="J11" s="6"/>
      <c r="K11" s="6"/>
      <c r="L11" s="6"/>
      <c r="M11" s="6"/>
    </row>
    <row r="13" spans="1:13">
      <c r="B13">
        <f>AVERAGE(B2:B11)</f>
        <v>100.83</v>
      </c>
    </row>
    <row r="14" spans="1:13">
      <c r="A14" t="s">
        <v>42</v>
      </c>
      <c r="B14">
        <f>STDEVA(B2:B11)</f>
        <v>1.8523558573401135</v>
      </c>
    </row>
    <row r="15" spans="1:13">
      <c r="A15" t="s">
        <v>43</v>
      </c>
      <c r="B15">
        <v>10</v>
      </c>
    </row>
    <row r="16" spans="1:13">
      <c r="A16" t="s">
        <v>44</v>
      </c>
      <c r="B16">
        <v>9</v>
      </c>
    </row>
    <row r="18" spans="1:2">
      <c r="A18" t="s">
        <v>45</v>
      </c>
      <c r="B18">
        <v>2.262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7B5F-AB02-497F-8D0C-875A5635704C}">
  <dimension ref="B3:L11"/>
  <sheetViews>
    <sheetView workbookViewId="0">
      <selection activeCell="G3" sqref="G3"/>
    </sheetView>
  </sheetViews>
  <sheetFormatPr defaultRowHeight="15"/>
  <cols>
    <col min="2" max="2" width="17.85546875" bestFit="1" customWidth="1"/>
  </cols>
  <sheetData>
    <row r="3" spans="2:12">
      <c r="B3" t="s">
        <v>46</v>
      </c>
      <c r="C3" t="s">
        <v>47</v>
      </c>
      <c r="F3" t="s">
        <v>48</v>
      </c>
      <c r="G3">
        <f>(125-105)/(14/5)</f>
        <v>7.1428571428571432</v>
      </c>
    </row>
    <row r="5" spans="2:12">
      <c r="B5" t="s">
        <v>49</v>
      </c>
      <c r="C5" t="s">
        <v>50</v>
      </c>
      <c r="F5" t="s">
        <v>6</v>
      </c>
      <c r="G5">
        <v>24</v>
      </c>
    </row>
    <row r="6" spans="2:12">
      <c r="F6" t="s">
        <v>51</v>
      </c>
      <c r="G6">
        <v>1.7110000000000001</v>
      </c>
    </row>
    <row r="7" spans="2:12">
      <c r="B7" t="s">
        <v>52</v>
      </c>
      <c r="C7">
        <v>125</v>
      </c>
    </row>
    <row r="8" spans="2:12">
      <c r="B8" t="s">
        <v>53</v>
      </c>
      <c r="C8">
        <v>105</v>
      </c>
      <c r="F8" s="6" t="s">
        <v>54</v>
      </c>
      <c r="G8" s="6"/>
      <c r="H8" s="6"/>
      <c r="I8" s="6"/>
      <c r="J8" s="6"/>
      <c r="K8" s="6"/>
      <c r="L8" s="6"/>
    </row>
    <row r="9" spans="2:12">
      <c r="B9" t="s">
        <v>55</v>
      </c>
      <c r="C9">
        <v>14</v>
      </c>
      <c r="F9" s="6" t="s">
        <v>56</v>
      </c>
      <c r="G9" s="6"/>
      <c r="H9" s="6"/>
      <c r="I9" s="6"/>
      <c r="J9" s="6"/>
      <c r="K9" s="6"/>
      <c r="L9" s="6"/>
    </row>
    <row r="11" spans="2:12">
      <c r="B11" t="s">
        <v>57</v>
      </c>
      <c r="C1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5E16-49CD-485A-A656-7409E3B5F0F6}">
  <dimension ref="A3:F9"/>
  <sheetViews>
    <sheetView tabSelected="1" workbookViewId="0">
      <selection activeCell="F7" sqref="F7"/>
    </sheetView>
  </sheetViews>
  <sheetFormatPr defaultRowHeight="15"/>
  <cols>
    <col min="1" max="1" width="18.28515625" bestFit="1" customWidth="1"/>
  </cols>
  <sheetData>
    <row r="3" spans="1:6">
      <c r="A3" t="s">
        <v>46</v>
      </c>
      <c r="B3" t="s">
        <v>58</v>
      </c>
    </row>
    <row r="4" spans="1:6">
      <c r="A4" t="s">
        <v>49</v>
      </c>
      <c r="B4" t="s">
        <v>59</v>
      </c>
      <c r="E4" t="s">
        <v>60</v>
      </c>
      <c r="F4">
        <f>(16-15)/(14/SQRT(169))</f>
        <v>0.9285714285714286</v>
      </c>
    </row>
    <row r="6" spans="1:6">
      <c r="A6" t="s">
        <v>61</v>
      </c>
      <c r="B6">
        <v>14</v>
      </c>
      <c r="E6" t="s">
        <v>62</v>
      </c>
      <c r="F6">
        <v>0.82120000000000004</v>
      </c>
    </row>
    <row r="7" spans="1:6">
      <c r="A7" t="s">
        <v>63</v>
      </c>
      <c r="B7">
        <v>16</v>
      </c>
    </row>
    <row r="8" spans="1:6">
      <c r="A8" t="s">
        <v>64</v>
      </c>
      <c r="B8">
        <v>15</v>
      </c>
      <c r="E8" s="6" t="s">
        <v>65</v>
      </c>
      <c r="F8" s="6" t="s">
        <v>66</v>
      </c>
    </row>
    <row r="9" spans="1:6">
      <c r="A9" t="s">
        <v>67</v>
      </c>
      <c r="B9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Pradeep Maradugu</cp:lastModifiedBy>
  <cp:revision/>
  <dcterms:created xsi:type="dcterms:W3CDTF">2022-04-17T02:00:41Z</dcterms:created>
  <dcterms:modified xsi:type="dcterms:W3CDTF">2022-04-17T04:57:58Z</dcterms:modified>
  <cp:category/>
  <cp:contentStatus/>
</cp:coreProperties>
</file>